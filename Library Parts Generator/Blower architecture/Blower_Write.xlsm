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sim\Documents\Victor\Library Manager\Library Importer\FloSCRIPT Generation\Blower architecture\"/>
    </mc:Choice>
  </mc:AlternateContent>
  <bookViews>
    <workbookView xWindow="0" yWindow="0" windowWidth="23040" windowHeight="9660"/>
  </bookViews>
  <sheets>
    <sheet name="All_Models" sheetId="1" r:id="rId1"/>
    <sheet name="Selected_Models" sheetId="2" r:id="rId2"/>
    <sheet name="Vendors" sheetId="3" r:id="rId3"/>
    <sheet name="File_Location" sheetId="4" r:id="rId4"/>
    <sheet name="Acronyms in blower master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4" i="1" l="1"/>
  <c r="AR4" i="1" l="1"/>
  <c r="AP4" i="1"/>
  <c r="AO4" i="1"/>
  <c r="AN4" i="1"/>
  <c r="AK4" i="1"/>
  <c r="AH4" i="1"/>
  <c r="AG4" i="1"/>
  <c r="AF4" i="1"/>
  <c r="AE4" i="1"/>
  <c r="AD4" i="1"/>
  <c r="AB4" i="1"/>
  <c r="AA4" i="1"/>
  <c r="Z4" i="1"/>
  <c r="Y4" i="1"/>
  <c r="X4" i="1"/>
  <c r="W4" i="1"/>
  <c r="V4" i="1"/>
  <c r="U4" i="1"/>
  <c r="T4" i="1"/>
  <c r="Q4" i="1"/>
  <c r="P4" i="1"/>
  <c r="AM4" i="1" s="1"/>
  <c r="O4" i="1"/>
  <c r="AL4" i="1" s="1"/>
</calcChain>
</file>

<file path=xl/sharedStrings.xml><?xml version="1.0" encoding="utf-8"?>
<sst xmlns="http://schemas.openxmlformats.org/spreadsheetml/2006/main" count="239" uniqueCount="122">
  <si>
    <t>Inlet Diameter</t>
  </si>
  <si>
    <t>Hub Diamter</t>
  </si>
  <si>
    <t>Vertical Offset</t>
  </si>
  <si>
    <t>Duct Height</t>
  </si>
  <si>
    <t>Backing cuboid</t>
  </si>
  <si>
    <t>Front Cuboid</t>
  </si>
  <si>
    <t>Inlet Cylinder</t>
  </si>
  <si>
    <t>Arch-Chord Ratio</t>
  </si>
  <si>
    <t>Hub Cylinder</t>
  </si>
  <si>
    <t>Recirc Device - Extract</t>
  </si>
  <si>
    <t>Recirc Device - Supply</t>
  </si>
  <si>
    <t>Position</t>
  </si>
  <si>
    <t>Size</t>
  </si>
  <si>
    <t>Model</t>
  </si>
  <si>
    <t>x</t>
  </si>
  <si>
    <t>y</t>
  </si>
  <si>
    <t>z</t>
  </si>
  <si>
    <t xml:space="preserve">Radius </t>
  </si>
  <si>
    <t>Length</t>
  </si>
  <si>
    <t>Ratio</t>
  </si>
  <si>
    <t>x1</t>
  </si>
  <si>
    <t>Original Dimensions</t>
  </si>
  <si>
    <t>Vendor</t>
  </si>
  <si>
    <t>Fan Curve Points</t>
  </si>
  <si>
    <t>Name</t>
  </si>
  <si>
    <t>Acronym</t>
  </si>
  <si>
    <t>Meaning</t>
  </si>
  <si>
    <t>BCSX</t>
  </si>
  <si>
    <t>BCSY</t>
  </si>
  <si>
    <t>BCSZ</t>
  </si>
  <si>
    <t>FCPZ</t>
  </si>
  <si>
    <t>FCSX</t>
  </si>
  <si>
    <t>FCSY</t>
  </si>
  <si>
    <t>IPX</t>
  </si>
  <si>
    <t>IPY</t>
  </si>
  <si>
    <t>IPZ</t>
  </si>
  <si>
    <t>ISR</t>
  </si>
  <si>
    <t>HPX</t>
  </si>
  <si>
    <t>HPY</t>
  </si>
  <si>
    <t>HPZ</t>
  </si>
  <si>
    <t>HSR</t>
  </si>
  <si>
    <t>HSL</t>
  </si>
  <si>
    <t>EPX</t>
  </si>
  <si>
    <t>EPY</t>
  </si>
  <si>
    <t>EPZ</t>
  </si>
  <si>
    <t>ESX</t>
  </si>
  <si>
    <t>ESY</t>
  </si>
  <si>
    <t>SPX</t>
  </si>
  <si>
    <t>SPY</t>
  </si>
  <si>
    <t>SPZ</t>
  </si>
  <si>
    <t>SSX</t>
  </si>
  <si>
    <t>SSY</t>
  </si>
  <si>
    <t>Backing Cuboid Size X</t>
  </si>
  <si>
    <t>Backing Cuboid Size Y</t>
  </si>
  <si>
    <t>Backing Cuboid Size Z</t>
  </si>
  <si>
    <t>Front Cuboid Position Z</t>
  </si>
  <si>
    <t>Front Cuboid Size X</t>
  </si>
  <si>
    <t>Front Cuboid Size Y</t>
  </si>
  <si>
    <t>Inlet Position X</t>
  </si>
  <si>
    <t>Inlet Position Y</t>
  </si>
  <si>
    <t>Inlet Position Z</t>
  </si>
  <si>
    <t>Inlet Size Radius</t>
  </si>
  <si>
    <t>Hub Cylinder Position X</t>
  </si>
  <si>
    <t>Hub Cylinder Position Y</t>
  </si>
  <si>
    <t>Hub Cylinder Position Z</t>
  </si>
  <si>
    <t>Hub Cylinder Size Radius</t>
  </si>
  <si>
    <t>Hub Cylinder Size Length</t>
  </si>
  <si>
    <t>Extract Position X</t>
  </si>
  <si>
    <t>Extract Position Y</t>
  </si>
  <si>
    <t>Extract Position Z</t>
  </si>
  <si>
    <t>Extract Size X</t>
  </si>
  <si>
    <t>Extract Size Y</t>
  </si>
  <si>
    <t>Supply Position X</t>
  </si>
  <si>
    <t>Supply Position Y</t>
  </si>
  <si>
    <t>Supply Position Z</t>
  </si>
  <si>
    <t>Supply Size X</t>
  </si>
  <si>
    <t>Supply Size Y</t>
  </si>
  <si>
    <t>Marker for variable number of curve points</t>
  </si>
  <si>
    <t>ISL</t>
  </si>
  <si>
    <t>Inlet Size Length</t>
  </si>
  <si>
    <t>ADDA</t>
  </si>
  <si>
    <t>Comair Rotron</t>
  </si>
  <si>
    <t>ebmpapst</t>
  </si>
  <si>
    <t>ETRI</t>
  </si>
  <si>
    <t>Mechatronics</t>
  </si>
  <si>
    <t>Sanyo Denki</t>
  </si>
  <si>
    <t>y1</t>
  </si>
  <si>
    <t>x2</t>
  </si>
  <si>
    <t>y2</t>
  </si>
  <si>
    <t>x3</t>
  </si>
  <si>
    <t>y3</t>
  </si>
  <si>
    <t>Master File Location (read from):</t>
  </si>
  <si>
    <t>FloTHERM Libraries location:</t>
  </si>
  <si>
    <t>C:\Program Files (x86)\MentorMA\flosuite_v12\flotherm\flocentral\Libraries</t>
  </si>
  <si>
    <t>Spreadsheet for which the Macro is to run:</t>
  </si>
  <si>
    <t>FCSZ</t>
  </si>
  <si>
    <t>Front Cuboid Size Z</t>
  </si>
  <si>
    <t>ACR</t>
  </si>
  <si>
    <t>&lt;!--insert here--&gt;</t>
  </si>
  <si>
    <t>All Models</t>
  </si>
  <si>
    <t>AVC</t>
  </si>
  <si>
    <t>CIC</t>
  </si>
  <si>
    <t>Cooltron</t>
  </si>
  <si>
    <t>Nidec</t>
  </si>
  <si>
    <t>Pelonis Technologies</t>
  </si>
  <si>
    <t>Powerlogic</t>
  </si>
  <si>
    <t>Purdy</t>
  </si>
  <si>
    <t>Sofasco</t>
  </si>
  <si>
    <t>YCCFAN</t>
  </si>
  <si>
    <t>JMC</t>
  </si>
  <si>
    <t>NMB Minebea</t>
  </si>
  <si>
    <t>Orion Fans</t>
  </si>
  <si>
    <t>Vendor1</t>
  </si>
  <si>
    <t>Model1</t>
  </si>
  <si>
    <t>PDML Generation File Locations (write to):</t>
  </si>
  <si>
    <t>C:\Users\JDoe\Documents\XMLFileOutputs</t>
  </si>
  <si>
    <t>C:\Users\JDoe\Documents\XMLMasterFileLocation</t>
  </si>
  <si>
    <t>Left Horizontal Offset</t>
  </si>
  <si>
    <t>Right Horizontal Offset</t>
  </si>
  <si>
    <t>Delta</t>
  </si>
  <si>
    <t>YS TECH USA</t>
  </si>
  <si>
    <t xml:space="preserve">Right Horizontal Offset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</si>
</sst>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Border="1"/>
    <xf numFmtId="0" fontId="0" fillId="0" borderId="5" xfId="0" applyFill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7"/>
  <sheetViews>
    <sheetView tabSelected="1" workbookViewId="0">
      <selection sqref="A1:A3"/>
    </sheetView>
  </sheetViews>
  <sheetFormatPr defaultRowHeight="14.4" x14ac:dyDescent="0.55000000000000004"/>
  <cols>
    <col min="6" max="6" width="11.9453125" bestFit="1" customWidth="1"/>
    <col min="7" max="7" width="10.734375" bestFit="1" customWidth="1"/>
    <col min="8" max="8" width="17.62890625" bestFit="1" customWidth="1"/>
    <col min="9" max="9" width="18.62890625" bestFit="1" customWidth="1"/>
    <col min="10" max="10" width="11.89453125" bestFit="1" customWidth="1"/>
    <col min="11" max="11" width="9.89453125" bestFit="1" customWidth="1"/>
    <col min="29" max="29" width="14.26171875" bestFit="1" customWidth="1"/>
    <col min="45" max="45" width="13.83984375" bestFit="1" customWidth="1"/>
  </cols>
  <sheetData>
    <row r="1" spans="1:54" x14ac:dyDescent="0.55000000000000004">
      <c r="A1" s="9" t="s">
        <v>22</v>
      </c>
      <c r="B1" s="9" t="s">
        <v>13</v>
      </c>
      <c r="C1" s="8" t="s">
        <v>21</v>
      </c>
      <c r="D1" s="8"/>
      <c r="E1" s="8"/>
      <c r="F1" s="9" t="s">
        <v>0</v>
      </c>
      <c r="G1" s="9" t="s">
        <v>1</v>
      </c>
      <c r="H1" s="6" t="s">
        <v>117</v>
      </c>
      <c r="I1" s="9" t="s">
        <v>118</v>
      </c>
      <c r="J1" s="9" t="s">
        <v>2</v>
      </c>
      <c r="K1" s="9" t="s">
        <v>3</v>
      </c>
      <c r="L1" s="8" t="s">
        <v>4</v>
      </c>
      <c r="M1" s="8"/>
      <c r="N1" s="8"/>
      <c r="O1" s="8"/>
      <c r="P1" s="8"/>
      <c r="Q1" s="8"/>
      <c r="R1" s="8" t="s">
        <v>5</v>
      </c>
      <c r="S1" s="8"/>
      <c r="T1" s="8"/>
      <c r="U1" s="8"/>
      <c r="V1" s="8"/>
      <c r="W1" s="8"/>
      <c r="X1" s="8" t="s">
        <v>6</v>
      </c>
      <c r="Y1" s="8"/>
      <c r="Z1" s="8"/>
      <c r="AA1" s="8"/>
      <c r="AB1" s="8"/>
      <c r="AC1" s="9" t="s">
        <v>7</v>
      </c>
      <c r="AD1" s="8" t="s">
        <v>8</v>
      </c>
      <c r="AE1" s="8"/>
      <c r="AF1" s="8"/>
      <c r="AG1" s="8"/>
      <c r="AH1" s="8"/>
      <c r="AI1" s="8" t="s">
        <v>9</v>
      </c>
      <c r="AJ1" s="8"/>
      <c r="AK1" s="8"/>
      <c r="AL1" s="8"/>
      <c r="AM1" s="8"/>
      <c r="AN1" s="8" t="s">
        <v>10</v>
      </c>
      <c r="AO1" s="8"/>
      <c r="AP1" s="8"/>
      <c r="AQ1" s="8"/>
      <c r="AR1" s="8"/>
      <c r="AS1" s="6" t="s">
        <v>23</v>
      </c>
    </row>
    <row r="2" spans="1:54" x14ac:dyDescent="0.55000000000000004">
      <c r="A2" s="9"/>
      <c r="B2" s="9"/>
      <c r="C2" s="8" t="s">
        <v>12</v>
      </c>
      <c r="D2" s="8"/>
      <c r="E2" s="8"/>
      <c r="F2" s="9"/>
      <c r="G2" s="9"/>
      <c r="H2" s="7"/>
      <c r="I2" s="9"/>
      <c r="J2" s="9"/>
      <c r="K2" s="9"/>
      <c r="L2" s="8" t="s">
        <v>11</v>
      </c>
      <c r="M2" s="8"/>
      <c r="N2" s="8"/>
      <c r="O2" s="8" t="s">
        <v>12</v>
      </c>
      <c r="P2" s="8"/>
      <c r="Q2" s="8"/>
      <c r="R2" s="8" t="s">
        <v>11</v>
      </c>
      <c r="S2" s="8"/>
      <c r="T2" s="8"/>
      <c r="U2" s="8" t="s">
        <v>12</v>
      </c>
      <c r="V2" s="8"/>
      <c r="W2" s="8"/>
      <c r="X2" s="8" t="s">
        <v>11</v>
      </c>
      <c r="Y2" s="8"/>
      <c r="Z2" s="8"/>
      <c r="AA2" s="8" t="s">
        <v>12</v>
      </c>
      <c r="AB2" s="8"/>
      <c r="AC2" s="9"/>
      <c r="AD2" s="8" t="s">
        <v>11</v>
      </c>
      <c r="AE2" s="8"/>
      <c r="AF2" s="8"/>
      <c r="AG2" s="8" t="s">
        <v>12</v>
      </c>
      <c r="AH2" s="8"/>
      <c r="AI2" s="8" t="s">
        <v>11</v>
      </c>
      <c r="AJ2" s="8"/>
      <c r="AK2" s="8"/>
      <c r="AL2" s="8" t="s">
        <v>12</v>
      </c>
      <c r="AM2" s="8"/>
      <c r="AN2" s="8" t="s">
        <v>11</v>
      </c>
      <c r="AO2" s="8"/>
      <c r="AP2" s="8"/>
      <c r="AQ2" s="8" t="s">
        <v>12</v>
      </c>
      <c r="AR2" s="8"/>
      <c r="AS2" s="7"/>
    </row>
    <row r="3" spans="1:54" x14ac:dyDescent="0.55000000000000004">
      <c r="A3" s="9"/>
      <c r="B3" s="9"/>
      <c r="C3" s="1" t="s">
        <v>14</v>
      </c>
      <c r="D3" s="1" t="s">
        <v>15</v>
      </c>
      <c r="E3" s="1" t="s">
        <v>16</v>
      </c>
      <c r="F3" s="9"/>
      <c r="G3" s="9"/>
      <c r="H3" s="10"/>
      <c r="I3" s="9"/>
      <c r="J3" s="9"/>
      <c r="K3" s="9"/>
      <c r="L3" s="1" t="s">
        <v>14</v>
      </c>
      <c r="M3" s="1" t="s">
        <v>15</v>
      </c>
      <c r="N3" s="1" t="s">
        <v>16</v>
      </c>
      <c r="O3" s="1" t="s">
        <v>14</v>
      </c>
      <c r="P3" s="1" t="s">
        <v>15</v>
      </c>
      <c r="Q3" s="1" t="s">
        <v>16</v>
      </c>
      <c r="R3" s="1" t="s">
        <v>14</v>
      </c>
      <c r="S3" s="1" t="s">
        <v>15</v>
      </c>
      <c r="T3" s="1" t="s">
        <v>16</v>
      </c>
      <c r="U3" s="1" t="s">
        <v>14</v>
      </c>
      <c r="V3" s="1" t="s">
        <v>15</v>
      </c>
      <c r="W3" s="1" t="s">
        <v>16</v>
      </c>
      <c r="X3" s="1" t="s">
        <v>14</v>
      </c>
      <c r="Y3" s="1" t="s">
        <v>15</v>
      </c>
      <c r="Z3" s="1" t="s">
        <v>16</v>
      </c>
      <c r="AA3" s="1" t="s">
        <v>17</v>
      </c>
      <c r="AB3" s="1" t="s">
        <v>18</v>
      </c>
      <c r="AC3" s="1" t="s">
        <v>19</v>
      </c>
      <c r="AD3" s="1" t="s">
        <v>14</v>
      </c>
      <c r="AE3" s="1" t="s">
        <v>15</v>
      </c>
      <c r="AF3" s="1" t="s">
        <v>16</v>
      </c>
      <c r="AG3" s="1" t="s">
        <v>17</v>
      </c>
      <c r="AH3" s="1" t="s">
        <v>18</v>
      </c>
      <c r="AI3" s="1" t="s">
        <v>14</v>
      </c>
      <c r="AJ3" s="1" t="s">
        <v>15</v>
      </c>
      <c r="AK3" s="1" t="s">
        <v>16</v>
      </c>
      <c r="AL3" s="1" t="s">
        <v>14</v>
      </c>
      <c r="AM3" s="1" t="s">
        <v>15</v>
      </c>
      <c r="AN3" s="1" t="s">
        <v>14</v>
      </c>
      <c r="AO3" s="1" t="s">
        <v>15</v>
      </c>
      <c r="AP3" s="1" t="s">
        <v>16</v>
      </c>
      <c r="AQ3" s="1" t="s">
        <v>14</v>
      </c>
      <c r="AR3" s="1" t="s">
        <v>15</v>
      </c>
      <c r="AS3" s="5" t="s">
        <v>20</v>
      </c>
      <c r="AT3" s="4" t="s">
        <v>86</v>
      </c>
      <c r="AU3" s="4" t="s">
        <v>87</v>
      </c>
      <c r="AV3" s="4" t="s">
        <v>88</v>
      </c>
      <c r="AW3" s="4" t="s">
        <v>89</v>
      </c>
      <c r="AX3" s="4" t="s">
        <v>90</v>
      </c>
      <c r="AY3" s="3"/>
    </row>
    <row r="4" spans="1:54" x14ac:dyDescent="0.55000000000000004">
      <c r="A4" t="s">
        <v>112</v>
      </c>
      <c r="B4" s="3" t="s">
        <v>113</v>
      </c>
      <c r="C4">
        <v>3.5000000000000003E-2</v>
      </c>
      <c r="D4">
        <v>3.5000000000000003E-2</v>
      </c>
      <c r="E4">
        <v>7.4999999999999997E-3</v>
      </c>
      <c r="F4">
        <v>2.5999999999999999E-2</v>
      </c>
      <c r="G4">
        <v>1.7999999999999999E-2</v>
      </c>
      <c r="H4">
        <v>1.1999999999999999E-3</v>
      </c>
      <c r="I4">
        <v>1E-3</v>
      </c>
      <c r="J4">
        <v>1E-3</v>
      </c>
      <c r="K4">
        <v>1.6E-2</v>
      </c>
      <c r="L4">
        <v>0</v>
      </c>
      <c r="M4">
        <v>0</v>
      </c>
      <c r="N4">
        <v>0</v>
      </c>
      <c r="O4">
        <f>C4</f>
        <v>3.5000000000000003E-2</v>
      </c>
      <c r="P4">
        <f>D4</f>
        <v>3.5000000000000003E-2</v>
      </c>
      <c r="Q4">
        <f t="shared" ref="Q4" si="0">E4*0.34</f>
        <v>2.5500000000000002E-3</v>
      </c>
      <c r="R4">
        <v>0</v>
      </c>
      <c r="S4">
        <v>0</v>
      </c>
      <c r="T4">
        <f t="shared" ref="T4" si="1">E4*0.34</f>
        <v>2.5500000000000002E-3</v>
      </c>
      <c r="U4">
        <f>C4</f>
        <v>3.5000000000000003E-2</v>
      </c>
      <c r="V4">
        <f>D4</f>
        <v>3.5000000000000003E-2</v>
      </c>
      <c r="W4">
        <f t="shared" ref="W4" si="2">E4*0.66</f>
        <v>4.9500000000000004E-3</v>
      </c>
      <c r="X4">
        <f>C4*0.5</f>
        <v>1.7500000000000002E-2</v>
      </c>
      <c r="Y4">
        <f>D4*0.5</f>
        <v>1.7500000000000002E-2</v>
      </c>
      <c r="Z4">
        <f t="shared" ref="Z4" si="3">E4*0.34</f>
        <v>2.5500000000000002E-3</v>
      </c>
      <c r="AA4">
        <f t="shared" ref="AA4" si="4">F4*0.5</f>
        <v>1.2999999999999999E-2</v>
      </c>
      <c r="AB4">
        <f t="shared" ref="AB4" si="5">E4*0.67</f>
        <v>5.025E-3</v>
      </c>
      <c r="AC4">
        <v>1.0249999999999999</v>
      </c>
      <c r="AD4">
        <f>C4*0.5</f>
        <v>1.7500000000000002E-2</v>
      </c>
      <c r="AE4">
        <f>D4*0.5</f>
        <v>1.7500000000000002E-2</v>
      </c>
      <c r="AF4">
        <f t="shared" ref="AF4" si="6">E4*0.34</f>
        <v>2.5500000000000002E-3</v>
      </c>
      <c r="AG4">
        <f t="shared" ref="AG4" si="7">G4*0.5</f>
        <v>8.9999999999999993E-3</v>
      </c>
      <c r="AH4">
        <f t="shared" ref="AH4" si="8">E4*0.66</f>
        <v>4.9500000000000004E-3</v>
      </c>
      <c r="AI4">
        <v>0</v>
      </c>
      <c r="AJ4">
        <v>0</v>
      </c>
      <c r="AK4">
        <f t="shared" ref="AK4" si="9">0.34*E4</f>
        <v>2.5500000000000002E-3</v>
      </c>
      <c r="AL4">
        <f t="shared" ref="AL4:AM4" si="10">O4</f>
        <v>3.5000000000000003E-2</v>
      </c>
      <c r="AM4">
        <f t="shared" si="10"/>
        <v>3.5000000000000003E-2</v>
      </c>
      <c r="AN4">
        <f t="shared" ref="AN4" si="11">C4</f>
        <v>3.5000000000000003E-2</v>
      </c>
      <c r="AO4">
        <f t="shared" ref="AO4" si="12">J4</f>
        <v>1E-3</v>
      </c>
      <c r="AP4">
        <f t="shared" ref="AP4" si="13">I4</f>
        <v>1E-3</v>
      </c>
      <c r="AQ4">
        <f>E4-(H4+I4)</f>
        <v>5.3E-3</v>
      </c>
      <c r="AR4">
        <f t="shared" ref="AR4" si="14">K4</f>
        <v>1.6E-2</v>
      </c>
      <c r="AS4">
        <v>0</v>
      </c>
      <c r="AT4">
        <v>31.38</v>
      </c>
      <c r="AU4">
        <v>1.0854791350000001E-4</v>
      </c>
      <c r="AV4">
        <v>26.48</v>
      </c>
      <c r="AW4">
        <v>2.2653477599999999E-4</v>
      </c>
      <c r="AX4">
        <v>17.850000000000001</v>
      </c>
      <c r="AY4">
        <v>3.3508268950000001E-4</v>
      </c>
      <c r="AZ4">
        <v>10.78</v>
      </c>
      <c r="BA4">
        <v>4.2475270500000003E-4</v>
      </c>
      <c r="BB4">
        <v>0</v>
      </c>
    </row>
    <row r="5" spans="1:54" x14ac:dyDescent="0.55000000000000004">
      <c r="B5" s="3"/>
    </row>
    <row r="6" spans="1:54" x14ac:dyDescent="0.55000000000000004">
      <c r="B6" s="3"/>
    </row>
    <row r="7" spans="1:54" x14ac:dyDescent="0.55000000000000004">
      <c r="AT7" s="3"/>
    </row>
  </sheetData>
  <mergeCells count="30">
    <mergeCell ref="AD1:AH1"/>
    <mergeCell ref="AI1:AM1"/>
    <mergeCell ref="A1:A3"/>
    <mergeCell ref="B1:B3"/>
    <mergeCell ref="F1:F3"/>
    <mergeCell ref="G1:G3"/>
    <mergeCell ref="I1:I3"/>
    <mergeCell ref="C1:E1"/>
    <mergeCell ref="J1:J3"/>
    <mergeCell ref="K1:K3"/>
    <mergeCell ref="L1:Q1"/>
    <mergeCell ref="R1:W1"/>
    <mergeCell ref="X1:AB1"/>
    <mergeCell ref="H1:H3"/>
    <mergeCell ref="AS1:AS2"/>
    <mergeCell ref="AL2:AM2"/>
    <mergeCell ref="AN2:AP2"/>
    <mergeCell ref="AQ2:AR2"/>
    <mergeCell ref="C2:E2"/>
    <mergeCell ref="AC1:AC2"/>
    <mergeCell ref="AN1:AR1"/>
    <mergeCell ref="L2:N2"/>
    <mergeCell ref="O2:Q2"/>
    <mergeCell ref="R2:T2"/>
    <mergeCell ref="U2:W2"/>
    <mergeCell ref="X2:Z2"/>
    <mergeCell ref="AA2:AB2"/>
    <mergeCell ref="AD2:AF2"/>
    <mergeCell ref="AG2:AH2"/>
    <mergeCell ref="AI2:A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"/>
  <sheetViews>
    <sheetView workbookViewId="0">
      <selection sqref="A1:A3"/>
    </sheetView>
  </sheetViews>
  <sheetFormatPr defaultRowHeight="14.4" x14ac:dyDescent="0.55000000000000004"/>
  <cols>
    <col min="6" max="6" width="11.9453125" bestFit="1" customWidth="1"/>
    <col min="7" max="7" width="10.734375" bestFit="1" customWidth="1"/>
    <col min="8" max="8" width="17.62890625" bestFit="1" customWidth="1"/>
    <col min="9" max="9" width="19.05078125" bestFit="1" customWidth="1"/>
    <col min="10" max="10" width="11.89453125" bestFit="1" customWidth="1"/>
    <col min="11" max="11" width="9.89453125" bestFit="1" customWidth="1"/>
    <col min="29" max="29" width="14.26171875" bestFit="1" customWidth="1"/>
    <col min="45" max="45" width="13.83984375" bestFit="1" customWidth="1"/>
  </cols>
  <sheetData>
    <row r="1" spans="1:50" x14ac:dyDescent="0.55000000000000004">
      <c r="A1" s="9" t="s">
        <v>22</v>
      </c>
      <c r="B1" s="9" t="s">
        <v>13</v>
      </c>
      <c r="C1" s="8" t="s">
        <v>21</v>
      </c>
      <c r="D1" s="8"/>
      <c r="E1" s="8"/>
      <c r="F1" s="9" t="s">
        <v>0</v>
      </c>
      <c r="G1" s="9" t="s">
        <v>1</v>
      </c>
      <c r="H1" s="6" t="s">
        <v>117</v>
      </c>
      <c r="I1" s="9" t="s">
        <v>121</v>
      </c>
      <c r="J1" s="9" t="s">
        <v>2</v>
      </c>
      <c r="K1" s="9" t="s">
        <v>3</v>
      </c>
      <c r="L1" s="8" t="s">
        <v>4</v>
      </c>
      <c r="M1" s="8"/>
      <c r="N1" s="8"/>
      <c r="O1" s="8"/>
      <c r="P1" s="8"/>
      <c r="Q1" s="8"/>
      <c r="R1" s="8" t="s">
        <v>5</v>
      </c>
      <c r="S1" s="8"/>
      <c r="T1" s="8"/>
      <c r="U1" s="8"/>
      <c r="V1" s="8"/>
      <c r="W1" s="8"/>
      <c r="X1" s="8" t="s">
        <v>6</v>
      </c>
      <c r="Y1" s="8"/>
      <c r="Z1" s="8"/>
      <c r="AA1" s="8"/>
      <c r="AB1" s="8"/>
      <c r="AC1" s="9" t="s">
        <v>7</v>
      </c>
      <c r="AD1" s="8" t="s">
        <v>8</v>
      </c>
      <c r="AE1" s="8"/>
      <c r="AF1" s="8"/>
      <c r="AG1" s="8"/>
      <c r="AH1" s="8"/>
      <c r="AI1" s="8" t="s">
        <v>9</v>
      </c>
      <c r="AJ1" s="8"/>
      <c r="AK1" s="8"/>
      <c r="AL1" s="8"/>
      <c r="AM1" s="8"/>
      <c r="AN1" s="8" t="s">
        <v>10</v>
      </c>
      <c r="AO1" s="8"/>
      <c r="AP1" s="8"/>
      <c r="AQ1" s="8"/>
      <c r="AR1" s="8"/>
      <c r="AS1" s="6" t="s">
        <v>23</v>
      </c>
    </row>
    <row r="2" spans="1:50" x14ac:dyDescent="0.55000000000000004">
      <c r="A2" s="9"/>
      <c r="B2" s="9"/>
      <c r="C2" s="8" t="s">
        <v>12</v>
      </c>
      <c r="D2" s="8"/>
      <c r="E2" s="8"/>
      <c r="F2" s="9"/>
      <c r="G2" s="9"/>
      <c r="H2" s="7"/>
      <c r="I2" s="9"/>
      <c r="J2" s="9"/>
      <c r="K2" s="9"/>
      <c r="L2" s="8" t="s">
        <v>11</v>
      </c>
      <c r="M2" s="8"/>
      <c r="N2" s="8"/>
      <c r="O2" s="8" t="s">
        <v>12</v>
      </c>
      <c r="P2" s="8"/>
      <c r="Q2" s="8"/>
      <c r="R2" s="8" t="s">
        <v>11</v>
      </c>
      <c r="S2" s="8"/>
      <c r="T2" s="8"/>
      <c r="U2" s="8" t="s">
        <v>12</v>
      </c>
      <c r="V2" s="8"/>
      <c r="W2" s="8"/>
      <c r="X2" s="8" t="s">
        <v>11</v>
      </c>
      <c r="Y2" s="8"/>
      <c r="Z2" s="8"/>
      <c r="AA2" s="8" t="s">
        <v>12</v>
      </c>
      <c r="AB2" s="8"/>
      <c r="AC2" s="9"/>
      <c r="AD2" s="8" t="s">
        <v>11</v>
      </c>
      <c r="AE2" s="8"/>
      <c r="AF2" s="8"/>
      <c r="AG2" s="8" t="s">
        <v>12</v>
      </c>
      <c r="AH2" s="8"/>
      <c r="AI2" s="8" t="s">
        <v>11</v>
      </c>
      <c r="AJ2" s="8"/>
      <c r="AK2" s="8"/>
      <c r="AL2" s="8" t="s">
        <v>12</v>
      </c>
      <c r="AM2" s="8"/>
      <c r="AN2" s="8" t="s">
        <v>11</v>
      </c>
      <c r="AO2" s="8"/>
      <c r="AP2" s="8"/>
      <c r="AQ2" s="8" t="s">
        <v>12</v>
      </c>
      <c r="AR2" s="8"/>
      <c r="AS2" s="7"/>
    </row>
    <row r="3" spans="1:50" x14ac:dyDescent="0.55000000000000004">
      <c r="A3" s="9"/>
      <c r="B3" s="9"/>
      <c r="C3" s="1" t="s">
        <v>14</v>
      </c>
      <c r="D3" s="1" t="s">
        <v>15</v>
      </c>
      <c r="E3" s="1" t="s">
        <v>16</v>
      </c>
      <c r="F3" s="9"/>
      <c r="G3" s="9"/>
      <c r="H3" s="10"/>
      <c r="I3" s="9"/>
      <c r="J3" s="9"/>
      <c r="K3" s="9"/>
      <c r="L3" s="1" t="s">
        <v>14</v>
      </c>
      <c r="M3" s="1" t="s">
        <v>15</v>
      </c>
      <c r="N3" s="1" t="s">
        <v>16</v>
      </c>
      <c r="O3" s="1" t="s">
        <v>14</v>
      </c>
      <c r="P3" s="1" t="s">
        <v>15</v>
      </c>
      <c r="Q3" s="1" t="s">
        <v>16</v>
      </c>
      <c r="R3" s="1" t="s">
        <v>14</v>
      </c>
      <c r="S3" s="1" t="s">
        <v>15</v>
      </c>
      <c r="T3" s="1" t="s">
        <v>16</v>
      </c>
      <c r="U3" s="1" t="s">
        <v>14</v>
      </c>
      <c r="V3" s="1" t="s">
        <v>15</v>
      </c>
      <c r="W3" s="1" t="s">
        <v>16</v>
      </c>
      <c r="X3" s="1" t="s">
        <v>14</v>
      </c>
      <c r="Y3" s="1" t="s">
        <v>15</v>
      </c>
      <c r="Z3" s="1" t="s">
        <v>16</v>
      </c>
      <c r="AA3" s="1" t="s">
        <v>17</v>
      </c>
      <c r="AB3" s="1" t="s">
        <v>18</v>
      </c>
      <c r="AC3" s="1" t="s">
        <v>19</v>
      </c>
      <c r="AD3" s="1" t="s">
        <v>14</v>
      </c>
      <c r="AE3" s="1" t="s">
        <v>15</v>
      </c>
      <c r="AF3" s="1" t="s">
        <v>16</v>
      </c>
      <c r="AG3" s="1" t="s">
        <v>17</v>
      </c>
      <c r="AH3" s="1" t="s">
        <v>18</v>
      </c>
      <c r="AI3" s="1" t="s">
        <v>14</v>
      </c>
      <c r="AJ3" s="1" t="s">
        <v>15</v>
      </c>
      <c r="AK3" s="1" t="s">
        <v>16</v>
      </c>
      <c r="AL3" s="1" t="s">
        <v>14</v>
      </c>
      <c r="AM3" s="1" t="s">
        <v>15</v>
      </c>
      <c r="AN3" s="1" t="s">
        <v>14</v>
      </c>
      <c r="AO3" s="1" t="s">
        <v>15</v>
      </c>
      <c r="AP3" s="1" t="s">
        <v>16</v>
      </c>
      <c r="AQ3" s="1" t="s">
        <v>14</v>
      </c>
      <c r="AR3" s="1" t="s">
        <v>15</v>
      </c>
      <c r="AS3" s="5" t="s">
        <v>20</v>
      </c>
      <c r="AT3" s="4" t="s">
        <v>86</v>
      </c>
      <c r="AU3" s="4" t="s">
        <v>87</v>
      </c>
      <c r="AV3" s="4" t="s">
        <v>88</v>
      </c>
      <c r="AW3" s="4" t="s">
        <v>89</v>
      </c>
      <c r="AX3" s="4" t="s">
        <v>90</v>
      </c>
    </row>
  </sheetData>
  <mergeCells count="30">
    <mergeCell ref="K1:K3"/>
    <mergeCell ref="L1:Q1"/>
    <mergeCell ref="R1:W1"/>
    <mergeCell ref="X1:AB1"/>
    <mergeCell ref="L2:N2"/>
    <mergeCell ref="O2:Q2"/>
    <mergeCell ref="R2:T2"/>
    <mergeCell ref="U2:W2"/>
    <mergeCell ref="A1:A3"/>
    <mergeCell ref="B1:B3"/>
    <mergeCell ref="C1:E1"/>
    <mergeCell ref="F1:F3"/>
    <mergeCell ref="G1:G3"/>
    <mergeCell ref="C2:E2"/>
    <mergeCell ref="H1:H3"/>
    <mergeCell ref="AC1:AC2"/>
    <mergeCell ref="AA2:AB2"/>
    <mergeCell ref="AS1:AS2"/>
    <mergeCell ref="AD2:AF2"/>
    <mergeCell ref="AG2:AH2"/>
    <mergeCell ref="AI2:AK2"/>
    <mergeCell ref="AL2:AM2"/>
    <mergeCell ref="AN2:AP2"/>
    <mergeCell ref="AQ2:AR2"/>
    <mergeCell ref="AD1:AH1"/>
    <mergeCell ref="AI1:AM1"/>
    <mergeCell ref="AN1:AR1"/>
    <mergeCell ref="I1:I3"/>
    <mergeCell ref="X2:Z2"/>
    <mergeCell ref="J1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/>
  </sheetViews>
  <sheetFormatPr defaultRowHeight="14.4" x14ac:dyDescent="0.55000000000000004"/>
  <cols>
    <col min="1" max="1" width="13.3671875" bestFit="1" customWidth="1"/>
  </cols>
  <sheetData>
    <row r="1" spans="1:1" x14ac:dyDescent="0.55000000000000004">
      <c r="A1" s="2" t="s">
        <v>22</v>
      </c>
    </row>
    <row r="2" spans="1:1" x14ac:dyDescent="0.55000000000000004">
      <c r="A2" t="s">
        <v>80</v>
      </c>
    </row>
    <row r="3" spans="1:1" x14ac:dyDescent="0.55000000000000004">
      <c r="A3" t="s">
        <v>100</v>
      </c>
    </row>
    <row r="4" spans="1:1" x14ac:dyDescent="0.55000000000000004">
      <c r="A4" t="s">
        <v>101</v>
      </c>
    </row>
    <row r="5" spans="1:1" x14ac:dyDescent="0.55000000000000004">
      <c r="A5" t="s">
        <v>81</v>
      </c>
    </row>
    <row r="6" spans="1:1" x14ac:dyDescent="0.55000000000000004">
      <c r="A6" t="s">
        <v>102</v>
      </c>
    </row>
    <row r="7" spans="1:1" x14ac:dyDescent="0.55000000000000004">
      <c r="A7" t="s">
        <v>119</v>
      </c>
    </row>
    <row r="8" spans="1:1" x14ac:dyDescent="0.55000000000000004">
      <c r="A8" t="s">
        <v>82</v>
      </c>
    </row>
    <row r="9" spans="1:1" x14ac:dyDescent="0.55000000000000004">
      <c r="A9" t="s">
        <v>83</v>
      </c>
    </row>
    <row r="10" spans="1:1" x14ac:dyDescent="0.55000000000000004">
      <c r="A10" t="s">
        <v>109</v>
      </c>
    </row>
    <row r="11" spans="1:1" x14ac:dyDescent="0.55000000000000004">
      <c r="A11" t="s">
        <v>84</v>
      </c>
    </row>
    <row r="12" spans="1:1" x14ac:dyDescent="0.55000000000000004">
      <c r="A12" t="s">
        <v>103</v>
      </c>
    </row>
    <row r="13" spans="1:1" x14ac:dyDescent="0.55000000000000004">
      <c r="A13" t="s">
        <v>110</v>
      </c>
    </row>
    <row r="14" spans="1:1" x14ac:dyDescent="0.55000000000000004">
      <c r="A14" t="s">
        <v>111</v>
      </c>
    </row>
    <row r="15" spans="1:1" x14ac:dyDescent="0.55000000000000004">
      <c r="A15" t="s">
        <v>104</v>
      </c>
    </row>
    <row r="16" spans="1:1" x14ac:dyDescent="0.55000000000000004">
      <c r="A16" t="s">
        <v>105</v>
      </c>
    </row>
    <row r="17" spans="1:1" x14ac:dyDescent="0.55000000000000004">
      <c r="A17" t="s">
        <v>106</v>
      </c>
    </row>
    <row r="18" spans="1:1" x14ac:dyDescent="0.55000000000000004">
      <c r="A18" t="s">
        <v>85</v>
      </c>
    </row>
    <row r="19" spans="1:1" x14ac:dyDescent="0.55000000000000004">
      <c r="A19" t="s">
        <v>107</v>
      </c>
    </row>
    <row r="20" spans="1:1" x14ac:dyDescent="0.55000000000000004">
      <c r="A20" t="s">
        <v>108</v>
      </c>
    </row>
    <row r="21" spans="1:1" x14ac:dyDescent="0.55000000000000004">
      <c r="A21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F4" sqref="F4"/>
    </sheetView>
  </sheetViews>
  <sheetFormatPr defaultRowHeight="14.4" x14ac:dyDescent="0.55000000000000004"/>
  <cols>
    <col min="1" max="1" width="39.41796875" customWidth="1"/>
    <col min="2" max="2" width="13.62890625" bestFit="1" customWidth="1"/>
  </cols>
  <sheetData>
    <row r="1" spans="1:2" x14ac:dyDescent="0.55000000000000004">
      <c r="A1" t="s">
        <v>91</v>
      </c>
      <c r="B1" t="s">
        <v>116</v>
      </c>
    </row>
    <row r="2" spans="1:2" x14ac:dyDescent="0.55000000000000004">
      <c r="A2" t="s">
        <v>114</v>
      </c>
      <c r="B2" t="s">
        <v>115</v>
      </c>
    </row>
    <row r="3" spans="1:2" x14ac:dyDescent="0.55000000000000004">
      <c r="A3" t="s">
        <v>92</v>
      </c>
      <c r="B3" t="s">
        <v>93</v>
      </c>
    </row>
    <row r="5" spans="1:2" x14ac:dyDescent="0.55000000000000004">
      <c r="A5" t="s">
        <v>94</v>
      </c>
      <c r="B5" t="s">
        <v>99</v>
      </c>
    </row>
  </sheetData>
  <dataValidations count="1">
    <dataValidation type="list" allowBlank="1" showInputMessage="1" showErrorMessage="1" sqref="B5">
      <formula1>"All Models, Selected Models"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2"/>
  <sheetViews>
    <sheetView workbookViewId="0"/>
  </sheetViews>
  <sheetFormatPr defaultRowHeight="14.4" x14ac:dyDescent="0.55000000000000004"/>
  <cols>
    <col min="1" max="1" width="14.05078125" bestFit="1" customWidth="1"/>
    <col min="2" max="2" width="35" bestFit="1" customWidth="1"/>
    <col min="3" max="3" width="15.5234375" bestFit="1" customWidth="1"/>
    <col min="4" max="5" width="8.83984375" customWidth="1"/>
  </cols>
  <sheetData>
    <row r="1" spans="1:2" x14ac:dyDescent="0.55000000000000004">
      <c r="A1" t="s">
        <v>25</v>
      </c>
      <c r="B1" t="s">
        <v>26</v>
      </c>
    </row>
    <row r="2" spans="1:2" x14ac:dyDescent="0.55000000000000004">
      <c r="A2" t="s">
        <v>22</v>
      </c>
      <c r="B2" t="s">
        <v>22</v>
      </c>
    </row>
    <row r="3" spans="1:2" x14ac:dyDescent="0.55000000000000004">
      <c r="A3" t="s">
        <v>24</v>
      </c>
      <c r="B3" t="s">
        <v>24</v>
      </c>
    </row>
    <row r="4" spans="1:2" x14ac:dyDescent="0.55000000000000004">
      <c r="A4" t="s">
        <v>27</v>
      </c>
      <c r="B4" t="s">
        <v>52</v>
      </c>
    </row>
    <row r="5" spans="1:2" x14ac:dyDescent="0.55000000000000004">
      <c r="A5" t="s">
        <v>28</v>
      </c>
      <c r="B5" t="s">
        <v>53</v>
      </c>
    </row>
    <row r="6" spans="1:2" x14ac:dyDescent="0.55000000000000004">
      <c r="A6" t="s">
        <v>29</v>
      </c>
      <c r="B6" t="s">
        <v>54</v>
      </c>
    </row>
    <row r="7" spans="1:2" x14ac:dyDescent="0.55000000000000004">
      <c r="A7" t="s">
        <v>30</v>
      </c>
      <c r="B7" t="s">
        <v>55</v>
      </c>
    </row>
    <row r="8" spans="1:2" x14ac:dyDescent="0.55000000000000004">
      <c r="A8" t="s">
        <v>31</v>
      </c>
      <c r="B8" t="s">
        <v>56</v>
      </c>
    </row>
    <row r="9" spans="1:2" x14ac:dyDescent="0.55000000000000004">
      <c r="A9" t="s">
        <v>32</v>
      </c>
      <c r="B9" t="s">
        <v>57</v>
      </c>
    </row>
    <row r="10" spans="1:2" x14ac:dyDescent="0.55000000000000004">
      <c r="A10" t="s">
        <v>95</v>
      </c>
      <c r="B10" t="s">
        <v>96</v>
      </c>
    </row>
    <row r="11" spans="1:2" x14ac:dyDescent="0.55000000000000004">
      <c r="A11" t="s">
        <v>33</v>
      </c>
      <c r="B11" t="s">
        <v>58</v>
      </c>
    </row>
    <row r="12" spans="1:2" x14ac:dyDescent="0.55000000000000004">
      <c r="A12" t="s">
        <v>34</v>
      </c>
      <c r="B12" t="s">
        <v>59</v>
      </c>
    </row>
    <row r="13" spans="1:2" x14ac:dyDescent="0.55000000000000004">
      <c r="A13" t="s">
        <v>35</v>
      </c>
      <c r="B13" t="s">
        <v>60</v>
      </c>
    </row>
    <row r="14" spans="1:2" x14ac:dyDescent="0.55000000000000004">
      <c r="A14" t="s">
        <v>36</v>
      </c>
      <c r="B14" t="s">
        <v>61</v>
      </c>
    </row>
    <row r="15" spans="1:2" x14ac:dyDescent="0.55000000000000004">
      <c r="A15" t="s">
        <v>78</v>
      </c>
      <c r="B15" t="s">
        <v>79</v>
      </c>
    </row>
    <row r="16" spans="1:2" x14ac:dyDescent="0.55000000000000004">
      <c r="A16" t="s">
        <v>97</v>
      </c>
      <c r="B16" t="s">
        <v>7</v>
      </c>
    </row>
    <row r="17" spans="1:2" x14ac:dyDescent="0.55000000000000004">
      <c r="A17" t="s">
        <v>37</v>
      </c>
      <c r="B17" t="s">
        <v>62</v>
      </c>
    </row>
    <row r="18" spans="1:2" x14ac:dyDescent="0.55000000000000004">
      <c r="A18" t="s">
        <v>38</v>
      </c>
      <c r="B18" t="s">
        <v>63</v>
      </c>
    </row>
    <row r="19" spans="1:2" x14ac:dyDescent="0.55000000000000004">
      <c r="A19" t="s">
        <v>39</v>
      </c>
      <c r="B19" t="s">
        <v>64</v>
      </c>
    </row>
    <row r="20" spans="1:2" x14ac:dyDescent="0.55000000000000004">
      <c r="A20" t="s">
        <v>40</v>
      </c>
      <c r="B20" t="s">
        <v>65</v>
      </c>
    </row>
    <row r="21" spans="1:2" x14ac:dyDescent="0.55000000000000004">
      <c r="A21" t="s">
        <v>41</v>
      </c>
      <c r="B21" t="s">
        <v>66</v>
      </c>
    </row>
    <row r="22" spans="1:2" x14ac:dyDescent="0.55000000000000004">
      <c r="A22" t="s">
        <v>42</v>
      </c>
      <c r="B22" t="s">
        <v>67</v>
      </c>
    </row>
    <row r="23" spans="1:2" x14ac:dyDescent="0.55000000000000004">
      <c r="A23" t="s">
        <v>43</v>
      </c>
      <c r="B23" t="s">
        <v>68</v>
      </c>
    </row>
    <row r="24" spans="1:2" x14ac:dyDescent="0.55000000000000004">
      <c r="A24" t="s">
        <v>44</v>
      </c>
      <c r="B24" t="s">
        <v>69</v>
      </c>
    </row>
    <row r="25" spans="1:2" x14ac:dyDescent="0.55000000000000004">
      <c r="A25" t="s">
        <v>45</v>
      </c>
      <c r="B25" t="s">
        <v>70</v>
      </c>
    </row>
    <row r="26" spans="1:2" x14ac:dyDescent="0.55000000000000004">
      <c r="A26" t="s">
        <v>46</v>
      </c>
      <c r="B26" t="s">
        <v>71</v>
      </c>
    </row>
    <row r="27" spans="1:2" x14ac:dyDescent="0.55000000000000004">
      <c r="A27" t="s">
        <v>47</v>
      </c>
      <c r="B27" t="s">
        <v>72</v>
      </c>
    </row>
    <row r="28" spans="1:2" x14ac:dyDescent="0.55000000000000004">
      <c r="A28" t="s">
        <v>48</v>
      </c>
      <c r="B28" t="s">
        <v>73</v>
      </c>
    </row>
    <row r="29" spans="1:2" x14ac:dyDescent="0.55000000000000004">
      <c r="A29" t="s">
        <v>49</v>
      </c>
      <c r="B29" t="s">
        <v>74</v>
      </c>
    </row>
    <row r="30" spans="1:2" x14ac:dyDescent="0.55000000000000004">
      <c r="A30" t="s">
        <v>50</v>
      </c>
      <c r="B30" t="s">
        <v>75</v>
      </c>
    </row>
    <row r="31" spans="1:2" x14ac:dyDescent="0.55000000000000004">
      <c r="A31" t="s">
        <v>51</v>
      </c>
      <c r="B31" t="s">
        <v>76</v>
      </c>
    </row>
    <row r="32" spans="1:2" x14ac:dyDescent="0.55000000000000004">
      <c r="A32" t="s">
        <v>98</v>
      </c>
      <c r="B32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All_Models</vt:lpstr>
      <vt:lpstr>Selected_Models</vt:lpstr>
      <vt:lpstr>Vendors</vt:lpstr>
      <vt:lpstr>File_Location</vt:lpstr>
      <vt:lpstr>Acronyms in blower master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Sim, Victor</dc:creator>
  <cp:lastModifiedBy>Sim, Victor</cp:lastModifiedBy>
  <dcterms:created xsi:type="dcterms:W3CDTF">2017-10-18T11:07:17Z</dcterms:created>
  <dcterms:modified xsi:type="dcterms:W3CDTF">2018-06-26T15:38:57Z</dcterms:modified>
</cp:coreProperties>
</file>